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Task Tracker" sheetId="2" state="visible" r:id="rId2"/>
    <sheet xmlns:r="http://schemas.openxmlformats.org/officeDocument/2006/relationships" name="Person Dashboard" sheetId="3" state="visible" r:id="rId3"/>
    <sheet xmlns:r="http://schemas.openxmlformats.org/officeDocument/2006/relationships" name="Milestones" sheetId="4" state="visible" r:id="rId4"/>
    <sheet xmlns:r="http://schemas.openxmlformats.org/officeDocument/2006/relationships" name="People &amp; Roles" sheetId="5" state="visible" r:id="rId5"/>
    <sheet xmlns:r="http://schemas.openxmlformats.org/officeDocument/2006/relationships" name="Submission 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0B1F3B"/>
      <sz val="18"/>
    </font>
    <font>
      <name val="Calibri"/>
      <color rgb="00555555"/>
      <sz val="11"/>
    </font>
    <font>
      <name val="Calibri"/>
      <b val="1"/>
      <color rgb="0013315C"/>
      <sz val="13"/>
    </font>
    <font>
      <name val="Calibri"/>
      <color rgb="001A1A1A"/>
      <sz val="11"/>
    </font>
    <font>
      <name val="Calibri"/>
      <b val="1"/>
      <color rgb="00C8860C"/>
      <sz val="13"/>
    </font>
    <font>
      <name val="Calibri"/>
      <b val="1"/>
      <color rgb="00B33A3A"/>
      <sz val="11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b val="1"/>
      <color rgb="0013315C"/>
      <sz val="10"/>
    </font>
    <font>
      <name val="Calibri"/>
      <b val="1"/>
      <color rgb="001A1A1A"/>
      <sz val="11"/>
    </font>
    <font>
      <name val="Calibri"/>
      <b val="1"/>
      <color rgb="00C8860C"/>
      <sz val="11"/>
    </font>
    <font>
      <name val="Calibri"/>
      <b val="1"/>
      <color rgb="00C8860C"/>
      <sz val="12"/>
    </font>
  </fonts>
  <fills count="6">
    <fill>
      <patternFill/>
    </fill>
    <fill>
      <patternFill patternType="gray125"/>
    </fill>
    <fill>
      <patternFill patternType="solid">
        <fgColor rgb="001E3F66"/>
      </patternFill>
    </fill>
    <fill>
      <patternFill patternType="solid">
        <fgColor rgb="00F6D5D5"/>
      </patternFill>
    </fill>
    <fill>
      <patternFill patternType="solid">
        <fgColor rgb="00FCF3DC"/>
      </patternFill>
    </fill>
    <fill>
      <patternFill patternType="solid">
        <fgColor rgb="00EEF3F9"/>
      </patternFill>
    </fill>
  </fills>
  <borders count="2">
    <border>
      <left/>
      <right/>
      <top/>
      <bottom/>
      <diagonal/>
    </border>
    <border>
      <left style="thin">
        <color rgb="00C9D9EE"/>
      </left>
      <right style="thin">
        <color rgb="00C9D9EE"/>
      </right>
      <top style="thin">
        <color rgb="00C9D9EE"/>
      </top>
      <bottom style="thin">
        <color rgb="00C9D9E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9" fontId="10" fillId="0" borderId="1" pivotButton="0" quotePrefix="0" xfId="0"/>
    <xf numFmtId="0" fontId="11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9" fontId="12" fillId="0" borderId="1" pivotButton="0" quotePrefix="0" xfId="0"/>
    <xf numFmtId="0" fontId="9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dxfs count="3">
    <dxf>
      <font>
        <name val="Calibri"/>
        <b val="1"/>
        <color rgb="001E7A4C"/>
        <sz val="10"/>
      </font>
      <fill>
        <patternFill patternType="solid">
          <fgColor rgb="00CDEBD6"/>
        </patternFill>
      </fill>
    </dxf>
    <dxf>
      <font>
        <name val="Calibri"/>
        <b val="1"/>
        <color rgb="00B8860B"/>
        <sz val="10"/>
      </font>
      <fill>
        <patternFill patternType="solid">
          <fgColor rgb="00FBF2D3"/>
        </patternFill>
      </fill>
    </dxf>
    <dxf>
      <font>
        <name val="Calibri"/>
        <b val="1"/>
        <color rgb="00B33A3A"/>
        <sz val="10"/>
      </font>
      <fill>
        <patternFill patternType="solid">
          <fgColor rgb="00F6D5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2" ht="26" customHeight="1">
      <c r="B2" s="1" t="inlineStr">
        <is>
          <t>KASA CORE — MASTER TASK TRACKER</t>
        </is>
      </c>
    </row>
    <row r="3">
      <c r="B3" s="2" t="inlineStr">
        <is>
          <t>Tɛkyerɛma Pa Hackathon 2026 · prototype sprint 6–22 Sept · second screening 23–24 Sept · top 25 on 26 Sept</t>
        </is>
      </c>
    </row>
    <row r="4">
      <c r="B4" s="2" t="inlineStr"/>
    </row>
    <row r="5">
      <c r="B5" s="3" t="inlineStr">
        <is>
          <t>HOW TO USE THIS WORKBOOK</t>
        </is>
      </c>
    </row>
    <row r="6">
      <c r="B6" s="4" t="inlineStr">
        <is>
          <t>1. Find your tasks on the 'Task Tracker' sheet — filter the Owner column to your name.</t>
        </is>
      </c>
    </row>
    <row r="7">
      <c r="B7" s="4" t="inlineStr">
        <is>
          <t>2. Each morning, update ONLY the Status column of your tasks. That is the whole discipline.</t>
        </is>
      </c>
    </row>
    <row r="8">
      <c r="B8" s="4" t="inlineStr">
        <is>
          <t>3. Status options: Not started · In progress · Blocked · Done. If Blocked, say why in Comments and shout in the group.</t>
        </is>
      </c>
    </row>
    <row r="9">
      <c r="B9" s="4" t="inlineStr">
        <is>
          <t>4. 'Depends On' = do not start until that task is Done. 'Feeds Into' = someone is waiting on you.</t>
        </is>
      </c>
    </row>
    <row r="10">
      <c r="B10" s="4" t="inlineStr">
        <is>
          <t>5. 'Person Dashboard' auto-counts your progress. 'Milestones' are fixed dates — nothing moves them.</t>
        </is>
      </c>
    </row>
    <row r="11">
      <c r="B11" s="4" t="inlineStr">
        <is>
          <t>6. 'Submission Checklist' is what must be true to present on 23 Sept. That is the finish line.</t>
        </is>
      </c>
    </row>
    <row r="12">
      <c r="B12" s="2" t="inlineStr"/>
    </row>
    <row r="13">
      <c r="B13" s="3" t="inlineStr">
        <is>
          <t>THE CHAIN IN ONE SENTENCE</t>
        </is>
      </c>
    </row>
    <row r="14">
      <c r="B14" s="4" t="inlineStr">
        <is>
          <t>Prove USSD works (Days 1–3) → join one full voice→intent→confirm→USSD→PIN→result path (by Day 8) → add symbol board + data intent + accessibility (by Day 12) → test with blind users, record backup, rehearse (by Day 15) → present.</t>
        </is>
      </c>
    </row>
    <row r="15">
      <c r="B15" s="2" t="inlineStr"/>
    </row>
    <row r="16">
      <c r="B16" s="5" t="inlineStr">
        <is>
          <t>THE ONE RULE THAT MATTERS MOST</t>
        </is>
      </c>
    </row>
    <row r="17">
      <c r="B17" s="4" t="inlineStr">
        <is>
          <t>We build in parallel by mocking at the seams. Nobody waits. Build against a fake of whatever isn't ready yet, swap it for the real thing when it lands. Contracts are in docs/00_START_HERE.md.</t>
        </is>
      </c>
    </row>
    <row r="18">
      <c r="B18" s="2" t="inlineStr"/>
    </row>
    <row r="19">
      <c r="B19" s="6" t="inlineStr">
        <is>
          <t>NON-NEGOTIABLE: we never hold the user's PIN. Frederick needs a real Android phone + MTN SIM from Day 1 or the whole build is blocked.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42" customWidth="1" min="4" max="4"/>
    <col width="34" customWidth="1" min="5" max="5"/>
    <col width="10" customWidth="1" min="6" max="6"/>
    <col width="10" customWidth="1" min="7" max="7"/>
    <col width="12" customWidth="1" min="8" max="8"/>
    <col width="12" customWidth="1" min="9" max="9"/>
    <col width="9" customWidth="1" min="10" max="10"/>
    <col width="13" customWidth="1" min="11" max="11"/>
    <col width="26" customWidth="1" min="12" max="12"/>
  </cols>
  <sheetData>
    <row r="1">
      <c r="A1" s="7" t="inlineStr">
        <is>
          <t>Task ID</t>
        </is>
      </c>
      <c r="B1" s="7" t="inlineStr">
        <is>
          <t>Phase</t>
        </is>
      </c>
      <c r="C1" s="7" t="inlineStr">
        <is>
          <t>Owner</t>
        </is>
      </c>
      <c r="D1" s="7" t="inlineStr">
        <is>
          <t>Task</t>
        </is>
      </c>
      <c r="E1" s="7" t="inlineStr">
        <is>
          <t>Deliverable / Evidence</t>
        </is>
      </c>
      <c r="F1" s="7" t="inlineStr">
        <is>
          <t>Start</t>
        </is>
      </c>
      <c r="G1" s="7" t="inlineStr">
        <is>
          <t>Due</t>
        </is>
      </c>
      <c r="H1" s="7" t="inlineStr">
        <is>
          <t>Depends On</t>
        </is>
      </c>
      <c r="I1" s="7" t="inlineStr">
        <is>
          <t>Feeds Into</t>
        </is>
      </c>
      <c r="J1" s="7" t="inlineStr">
        <is>
          <t>Priority</t>
        </is>
      </c>
      <c r="K1" s="7" t="inlineStr">
        <is>
          <t>Status</t>
        </is>
      </c>
      <c r="L1" s="7" t="inlineStr">
        <is>
          <t>Comments</t>
        </is>
      </c>
    </row>
    <row r="2" ht="30" customHeight="1">
      <c r="A2" s="8" t="inlineStr">
        <is>
          <t>K01</t>
        </is>
      </c>
      <c r="B2" s="9" t="inlineStr">
        <is>
          <t>Setup · Day 1</t>
        </is>
      </c>
      <c r="C2" s="9" t="inlineStr">
        <is>
          <t>Frederick Kankam</t>
        </is>
      </c>
      <c r="D2" s="10" t="inlineStr">
        <is>
          <t>Secure a real Android phone with an active MTN SIM for USSD testing</t>
        </is>
      </c>
      <c r="E2" s="10" t="inlineStr">
        <is>
          <t>Phone in hand, confirmed in chat</t>
        </is>
      </c>
      <c r="F2" s="9" t="inlineStr">
        <is>
          <t>Day 1</t>
        </is>
      </c>
      <c r="G2" s="9" t="inlineStr">
        <is>
          <t>Day 1</t>
        </is>
      </c>
      <c r="H2" s="9" t="inlineStr">
        <is>
          <t>-</t>
        </is>
      </c>
      <c r="I2" s="9" t="inlineStr">
        <is>
          <t>K10,K11</t>
        </is>
      </c>
      <c r="J2" s="11" t="inlineStr">
        <is>
          <t>Critical</t>
        </is>
      </c>
      <c r="K2" s="9" t="inlineStr">
        <is>
          <t>Not started</t>
        </is>
      </c>
      <c r="L2" s="10" t="inlineStr"/>
    </row>
    <row r="3" ht="30" customHeight="1">
      <c r="A3" s="8" t="inlineStr">
        <is>
          <t>K02</t>
        </is>
      </c>
      <c r="B3" s="9" t="inlineStr">
        <is>
          <t>Setup · Day 1</t>
        </is>
      </c>
      <c r="C3" s="9" t="inlineStr">
        <is>
          <t>Frederick Kankam</t>
        </is>
      </c>
      <c r="D3" s="10" t="inlineStr">
        <is>
          <t>Create GitHub repo, add everyone, push the starter repo (code + docs)</t>
        </is>
      </c>
      <c r="E3" s="10" t="inlineStr">
        <is>
          <t>Repo URL shared; all 5 have access</t>
        </is>
      </c>
      <c r="F3" s="9" t="inlineStr">
        <is>
          <t>Day 1</t>
        </is>
      </c>
      <c r="G3" s="9" t="inlineStr">
        <is>
          <t>Day 1</t>
        </is>
      </c>
      <c r="H3" s="9" t="inlineStr">
        <is>
          <t>-</t>
        </is>
      </c>
      <c r="I3" s="9" t="inlineStr">
        <is>
          <t>ALL</t>
        </is>
      </c>
      <c r="J3" s="11" t="inlineStr">
        <is>
          <t>Critical</t>
        </is>
      </c>
      <c r="K3" s="9" t="inlineStr">
        <is>
          <t>Not started</t>
        </is>
      </c>
      <c r="L3" s="10" t="inlineStr"/>
    </row>
    <row r="4" ht="30" customHeight="1">
      <c r="A4" s="8" t="inlineStr">
        <is>
          <t>K03</t>
        </is>
      </c>
      <c r="B4" s="9" t="inlineStr">
        <is>
          <t>Setup · Day 1</t>
        </is>
      </c>
      <c r="C4" s="9" t="inlineStr">
        <is>
          <t>All members</t>
        </is>
      </c>
      <c r="D4" s="10" t="inlineStr">
        <is>
          <t>Everyone reads docs/00_START_HERE.md and their own role guide</t>
        </is>
      </c>
      <c r="E4" s="10" t="inlineStr">
        <is>
          <t>Confirmed in standup</t>
        </is>
      </c>
      <c r="F4" s="9" t="inlineStr">
        <is>
          <t>Day 1</t>
        </is>
      </c>
      <c r="G4" s="9" t="inlineStr">
        <is>
          <t>Day 1</t>
        </is>
      </c>
      <c r="H4" s="9" t="inlineStr">
        <is>
          <t>K02</t>
        </is>
      </c>
      <c r="I4" s="9" t="inlineStr">
        <is>
          <t>ALL</t>
        </is>
      </c>
      <c r="J4" s="11" t="inlineStr">
        <is>
          <t>Critical</t>
        </is>
      </c>
      <c r="K4" s="9" t="inlineStr">
        <is>
          <t>Not started</t>
        </is>
      </c>
      <c r="L4" s="10" t="inlineStr"/>
    </row>
    <row r="5" ht="30" customHeight="1">
      <c r="A5" s="8" t="inlineStr">
        <is>
          <t>K04</t>
        </is>
      </c>
      <c r="B5" s="9" t="inlineStr">
        <is>
          <t>Setup · Day 1</t>
        </is>
      </c>
      <c r="C5" s="9" t="inlineStr">
        <is>
          <t>All members</t>
        </is>
      </c>
      <c r="D5" s="10" t="inlineStr">
        <is>
          <t>Install toolchain (Python+FastAPI / Android Studio+Kotlin / ngrok)</t>
        </is>
      </c>
      <c r="E5" s="10" t="inlineStr">
        <is>
          <t>Screenshot in chat</t>
        </is>
      </c>
      <c r="F5" s="9" t="inlineStr">
        <is>
          <t>Day 1</t>
        </is>
      </c>
      <c r="G5" s="9" t="inlineStr">
        <is>
          <t>Day 1</t>
        </is>
      </c>
      <c r="H5" s="9" t="inlineStr">
        <is>
          <t>K02</t>
        </is>
      </c>
      <c r="I5" s="9" t="inlineStr">
        <is>
          <t>-</t>
        </is>
      </c>
      <c r="J5" s="12" t="inlineStr">
        <is>
          <t>High</t>
        </is>
      </c>
      <c r="K5" s="9" t="inlineStr">
        <is>
          <t>Not started</t>
        </is>
      </c>
      <c r="L5" s="10" t="inlineStr"/>
    </row>
    <row r="6" ht="30" customHeight="1">
      <c r="A6" s="8" t="inlineStr">
        <is>
          <t>K05</t>
        </is>
      </c>
      <c r="B6" s="9" t="inlineStr">
        <is>
          <t>Setup · Day 1</t>
        </is>
      </c>
      <c r="C6" s="9" t="inlineStr">
        <is>
          <t>Frederick Kankam</t>
        </is>
      </c>
      <c r="D6" s="10" t="inlineStr">
        <is>
          <t>First design session: lock PIN-entry mechanism, wake method, contacts source</t>
        </is>
      </c>
      <c r="E6" s="10" t="inlineStr">
        <is>
          <t>Decisions in dev log</t>
        </is>
      </c>
      <c r="F6" s="9" t="inlineStr">
        <is>
          <t>Day 1</t>
        </is>
      </c>
      <c r="G6" s="9" t="inlineStr">
        <is>
          <t>Day 1</t>
        </is>
      </c>
      <c r="H6" s="9" t="inlineStr">
        <is>
          <t>K03</t>
        </is>
      </c>
      <c r="I6" s="9" t="inlineStr">
        <is>
          <t>K30,K41</t>
        </is>
      </c>
      <c r="J6" s="12" t="inlineStr">
        <is>
          <t>High</t>
        </is>
      </c>
      <c r="K6" s="9" t="inlineStr">
        <is>
          <t>Not started</t>
        </is>
      </c>
      <c r="L6" s="10" t="inlineStr"/>
    </row>
    <row r="7" ht="30" customHeight="1">
      <c r="A7" s="8" t="inlineStr">
        <is>
          <t>K10</t>
        </is>
      </c>
      <c r="B7" s="9" t="inlineStr">
        <is>
          <t>Spike · Days 1–3</t>
        </is>
      </c>
      <c r="C7" s="9" t="inlineStr">
        <is>
          <t>Frederick Kankam</t>
        </is>
      </c>
      <c r="D7" s="10" t="inlineStr">
        <is>
          <t>Dial *170# and map the real MTN menu tree into config/ussd_scripts.json</t>
        </is>
      </c>
      <c r="E7" s="10" t="inlineStr">
        <is>
          <t>Verified menu digits committed</t>
        </is>
      </c>
      <c r="F7" s="9" t="inlineStr">
        <is>
          <t>Day 1</t>
        </is>
      </c>
      <c r="G7" s="9" t="inlineStr">
        <is>
          <t>Day 2</t>
        </is>
      </c>
      <c r="H7" s="9" t="inlineStr">
        <is>
          <t>K01</t>
        </is>
      </c>
      <c r="I7" s="9" t="inlineStr">
        <is>
          <t>K12,K31</t>
        </is>
      </c>
      <c r="J7" s="11" t="inlineStr">
        <is>
          <t>Critical</t>
        </is>
      </c>
      <c r="K7" s="9" t="inlineStr">
        <is>
          <t>Not started</t>
        </is>
      </c>
      <c r="L7" s="10" t="inlineStr"/>
    </row>
    <row r="8" ht="30" customHeight="1">
      <c r="A8" s="8" t="inlineStr">
        <is>
          <t>K11</t>
        </is>
      </c>
      <c r="B8" s="9" t="inlineStr">
        <is>
          <t>Spike · Days 1–3</t>
        </is>
      </c>
      <c r="C8" s="9" t="inlineStr">
        <is>
          <t>Frederick Kankam</t>
        </is>
      </c>
      <c r="D8" s="10" t="inlineStr">
        <is>
          <t>Balance via sendUssdRequest reads the real balance aloud on device</t>
        </is>
      </c>
      <c r="E8" s="10" t="inlineStr">
        <is>
          <t>Working balance path (video)</t>
        </is>
      </c>
      <c r="F8" s="9" t="inlineStr">
        <is>
          <t>Day 1</t>
        </is>
      </c>
      <c r="G8" s="9" t="inlineStr">
        <is>
          <t>Day 2</t>
        </is>
      </c>
      <c r="H8" s="9" t="inlineStr">
        <is>
          <t>K01</t>
        </is>
      </c>
      <c r="I8" s="9" t="inlineStr">
        <is>
          <t>K33</t>
        </is>
      </c>
      <c r="J8" s="11" t="inlineStr">
        <is>
          <t>Critical</t>
        </is>
      </c>
      <c r="K8" s="9" t="inlineStr">
        <is>
          <t>Not started</t>
        </is>
      </c>
      <c r="L8" s="10" t="inlineStr"/>
    </row>
    <row r="9" ht="30" customHeight="1">
      <c r="A9" s="8" t="inlineStr">
        <is>
          <t>K12</t>
        </is>
      </c>
      <c r="B9" s="9" t="inlineStr">
        <is>
          <t>Spike · Days 1–3</t>
        </is>
      </c>
      <c r="C9" s="9" t="inlineStr">
        <is>
          <t>Frederick Kankam</t>
        </is>
      </c>
      <c r="D9" s="10" t="inlineStr">
        <is>
          <t>AccessibilityService drives 2–3 send-money steps + detects PIN prompt on 2 phones</t>
        </is>
      </c>
      <c r="E9" s="10" t="inlineStr">
        <is>
          <t>Spike demo on 2 devices</t>
        </is>
      </c>
      <c r="F9" s="9" t="inlineStr">
        <is>
          <t>Day 2</t>
        </is>
      </c>
      <c r="G9" s="9" t="inlineStr">
        <is>
          <t>Day 3</t>
        </is>
      </c>
      <c r="H9" s="9" t="inlineStr">
        <is>
          <t>K10</t>
        </is>
      </c>
      <c r="I9" s="9" t="inlineStr">
        <is>
          <t>K31</t>
        </is>
      </c>
      <c r="J9" s="11" t="inlineStr">
        <is>
          <t>Critical</t>
        </is>
      </c>
      <c r="K9" s="9" t="inlineStr">
        <is>
          <t>Not started</t>
        </is>
      </c>
      <c r="L9" s="10" t="inlineStr"/>
    </row>
    <row r="10" ht="30" customHeight="1">
      <c r="A10" s="8" t="inlineStr">
        <is>
          <t>K13</t>
        </is>
      </c>
      <c r="B10" s="9" t="inlineStr">
        <is>
          <t>Spike · Days 1–3</t>
        </is>
      </c>
      <c r="C10" s="9" t="inlineStr">
        <is>
          <t>Frederick Kankam</t>
        </is>
      </c>
      <c r="D10" s="10" t="inlineStr">
        <is>
          <t>GO / NO-GO decision on interactive USSD (else switch to assisted mode)</t>
        </is>
      </c>
      <c r="E10" s="10" t="inlineStr">
        <is>
          <t>Written decision in dev log</t>
        </is>
      </c>
      <c r="F10" s="9" t="inlineStr">
        <is>
          <t>Day 3</t>
        </is>
      </c>
      <c r="G10" s="9" t="inlineStr">
        <is>
          <t>Day 3</t>
        </is>
      </c>
      <c r="H10" s="9" t="inlineStr">
        <is>
          <t>K12</t>
        </is>
      </c>
      <c r="I10" s="9" t="inlineStr">
        <is>
          <t>K31</t>
        </is>
      </c>
      <c r="J10" s="11" t="inlineStr">
        <is>
          <t>Critical</t>
        </is>
      </c>
      <c r="K10" s="9" t="inlineStr">
        <is>
          <t>Not started</t>
        </is>
      </c>
      <c r="L10" s="10" t="inlineStr"/>
    </row>
    <row r="11" ht="30" customHeight="1">
      <c r="A11" s="8" t="inlineStr">
        <is>
          <t>K20</t>
        </is>
      </c>
      <c r="B11" s="9" t="inlineStr">
        <is>
          <t>Server · Days 1–3</t>
        </is>
      </c>
      <c r="C11" s="9" t="inlineStr">
        <is>
          <t>Selorm Sem</t>
        </is>
      </c>
      <c r="D11" s="10" t="inlineStr">
        <is>
          <t>Stand up FastAPI, /health live, ngrok URL shared with Richmond</t>
        </is>
      </c>
      <c r="E11" s="10" t="inlineStr">
        <is>
          <t>/health returns ok from phone</t>
        </is>
      </c>
      <c r="F11" s="9" t="inlineStr">
        <is>
          <t>Day 1</t>
        </is>
      </c>
      <c r="G11" s="9" t="inlineStr">
        <is>
          <t>Day 1</t>
        </is>
      </c>
      <c r="H11" s="9" t="inlineStr">
        <is>
          <t>K02</t>
        </is>
      </c>
      <c r="I11" s="9" t="inlineStr">
        <is>
          <t>K21,K42</t>
        </is>
      </c>
      <c r="J11" s="11" t="inlineStr">
        <is>
          <t>Critical</t>
        </is>
      </c>
      <c r="K11" s="9" t="inlineStr">
        <is>
          <t>Not started</t>
        </is>
      </c>
      <c r="L11" s="10" t="inlineStr"/>
    </row>
    <row r="12" ht="30" customHeight="1">
      <c r="A12" s="8" t="inlineStr">
        <is>
          <t>K21</t>
        </is>
      </c>
      <c r="B12" s="9" t="inlineStr">
        <is>
          <t>Server · Days 1–3</t>
        </is>
      </c>
      <c r="C12" s="9" t="inlineStr">
        <is>
          <t>Selorm Sem</t>
        </is>
      </c>
      <c r="D12" s="10" t="inlineStr">
        <is>
          <t>Extract parser into intent_parser.py; expand Twi grammar (actions, numbers, recipients)</t>
        </is>
      </c>
      <c r="E12" s="10" t="inlineStr">
        <is>
          <t>20 typed commands parse correctly</t>
        </is>
      </c>
      <c r="F12" s="9" t="inlineStr">
        <is>
          <t>Day 1</t>
        </is>
      </c>
      <c r="G12" s="9" t="inlineStr">
        <is>
          <t>Day 3</t>
        </is>
      </c>
      <c r="H12" s="9" t="inlineStr">
        <is>
          <t>K20</t>
        </is>
      </c>
      <c r="I12" s="9" t="inlineStr">
        <is>
          <t>K22,K23</t>
        </is>
      </c>
      <c r="J12" s="12" t="inlineStr">
        <is>
          <t>High</t>
        </is>
      </c>
      <c r="K12" s="9" t="inlineStr">
        <is>
          <t>Not started</t>
        </is>
      </c>
      <c r="L12" s="10" t="inlineStr"/>
    </row>
    <row r="13" ht="30" customHeight="1">
      <c r="A13" s="8" t="inlineStr">
        <is>
          <t>K30</t>
        </is>
      </c>
      <c r="B13" s="9" t="inlineStr">
        <is>
          <t>Speech · Days 1–3</t>
        </is>
      </c>
      <c r="C13" s="9" t="inlineStr">
        <is>
          <t>Kelvin Agyare Yeboah</t>
        </is>
      </c>
      <c r="D13" s="10" t="inlineStr">
        <is>
          <t>Email Evans + lab for dcshcilab_Whisper/Vits + datasets; set Whisper-small fallback</t>
        </is>
      </c>
      <c r="E13" s="10" t="inlineStr">
        <is>
          <t>Emails sent; baseline ASR runs</t>
        </is>
      </c>
      <c r="F13" s="9" t="inlineStr">
        <is>
          <t>Day 1</t>
        </is>
      </c>
      <c r="G13" s="9" t="inlineStr">
        <is>
          <t>Day 1</t>
        </is>
      </c>
      <c r="H13" s="9" t="inlineStr">
        <is>
          <t>K03</t>
        </is>
      </c>
      <c r="I13" s="9" t="inlineStr">
        <is>
          <t>K32,K34</t>
        </is>
      </c>
      <c r="J13" s="12" t="inlineStr">
        <is>
          <t>High</t>
        </is>
      </c>
      <c r="K13" s="9" t="inlineStr">
        <is>
          <t>Not started</t>
        </is>
      </c>
      <c r="L13" s="10" t="inlineStr"/>
    </row>
    <row r="14" ht="30" customHeight="1">
      <c r="A14" s="8" t="inlineStr">
        <is>
          <t>K31</t>
        </is>
      </c>
      <c r="B14" s="9" t="inlineStr">
        <is>
          <t>Speech · Days 1–3</t>
        </is>
      </c>
      <c r="C14" s="9" t="inlineStr">
        <is>
          <t>Kelvin Agyare Yeboah</t>
        </is>
      </c>
      <c r="D14" s="10" t="inlineStr">
        <is>
          <t>run_asr(bytes)-&gt;str baseline handed to Selorm (unblocks the pipeline)</t>
        </is>
      </c>
      <c r="E14" s="10" t="inlineStr">
        <is>
          <t>Function importable in server</t>
        </is>
      </c>
      <c r="F14" s="9" t="inlineStr">
        <is>
          <t>Day 1</t>
        </is>
      </c>
      <c r="G14" s="9" t="inlineStr">
        <is>
          <t>Day 2</t>
        </is>
      </c>
      <c r="H14" s="9" t="inlineStr">
        <is>
          <t>K30</t>
        </is>
      </c>
      <c r="I14" s="9" t="inlineStr">
        <is>
          <t>K22</t>
        </is>
      </c>
      <c r="J14" s="12" t="inlineStr">
        <is>
          <t>High</t>
        </is>
      </c>
      <c r="K14" s="9" t="inlineStr">
        <is>
          <t>Not started</t>
        </is>
      </c>
      <c r="L14" s="10" t="inlineStr"/>
    </row>
    <row r="15" ht="30" customHeight="1">
      <c r="A15" s="8" t="inlineStr">
        <is>
          <t>K40</t>
        </is>
      </c>
      <c r="B15" s="9" t="inlineStr">
        <is>
          <t>App · Days 1–3</t>
        </is>
      </c>
      <c r="C15" s="9" t="inlineStr">
        <is>
          <t>Richmond Nyamedor</t>
        </is>
      </c>
      <c r="D15" s="10" t="inlineStr">
        <is>
          <t>Kotlin project runs on device; permissions; minSdk 26</t>
        </is>
      </c>
      <c r="E15" s="10" t="inlineStr">
        <is>
          <t>App installs and launches</t>
        </is>
      </c>
      <c r="F15" s="9" t="inlineStr">
        <is>
          <t>Day 1</t>
        </is>
      </c>
      <c r="G15" s="9" t="inlineStr">
        <is>
          <t>Day 1</t>
        </is>
      </c>
      <c r="H15" s="9" t="inlineStr">
        <is>
          <t>K02</t>
        </is>
      </c>
      <c r="I15" s="9" t="inlineStr">
        <is>
          <t>K41,K42</t>
        </is>
      </c>
      <c r="J15" s="12" t="inlineStr">
        <is>
          <t>High</t>
        </is>
      </c>
      <c r="K15" s="9" t="inlineStr">
        <is>
          <t>Not started</t>
        </is>
      </c>
      <c r="L15" s="10" t="inlineStr"/>
    </row>
    <row r="16" ht="30" customHeight="1">
      <c r="A16" s="8" t="inlineStr">
        <is>
          <t>K41</t>
        </is>
      </c>
      <c r="B16" s="9" t="inlineStr">
        <is>
          <t>App · Days 1–3</t>
        </is>
      </c>
      <c r="C16" s="9" t="inlineStr">
        <is>
          <t>Richmond Nyamedor</t>
        </is>
      </c>
      <c r="D16" s="10" t="inlineStr">
        <is>
          <t>Network layer + FakeApi + FakeUssdEngine so UI builds with no server/engine</t>
        </is>
      </c>
      <c r="E16" s="10" t="inlineStr">
        <is>
          <t>Flow runs on canned Intents</t>
        </is>
      </c>
      <c r="F16" s="9" t="inlineStr">
        <is>
          <t>Day 1</t>
        </is>
      </c>
      <c r="G16" s="9" t="inlineStr">
        <is>
          <t>Day 3</t>
        </is>
      </c>
      <c r="H16" s="9" t="inlineStr">
        <is>
          <t>K40</t>
        </is>
      </c>
      <c r="I16" s="9" t="inlineStr">
        <is>
          <t>K43</t>
        </is>
      </c>
      <c r="J16" s="12" t="inlineStr">
        <is>
          <t>High</t>
        </is>
      </c>
      <c r="K16" s="9" t="inlineStr">
        <is>
          <t>Not started</t>
        </is>
      </c>
      <c r="L16" s="10" t="inlineStr"/>
    </row>
    <row r="17" ht="30" customHeight="1">
      <c r="A17" s="8" t="inlineStr">
        <is>
          <t>K22</t>
        </is>
      </c>
      <c r="B17" s="9" t="inlineStr">
        <is>
          <t>Server · Days 4–8</t>
        </is>
      </c>
      <c r="C17" s="9" t="inlineStr">
        <is>
          <t>Selorm Sem</t>
        </is>
      </c>
      <c r="D17" s="10" t="inlineStr">
        <is>
          <t>/understand endpoint = transcribe + parse in one call</t>
        </is>
      </c>
      <c r="E17" s="10" t="inlineStr">
        <is>
          <t>Returns Intent from audio</t>
        </is>
      </c>
      <c r="F17" s="9" t="inlineStr">
        <is>
          <t>Day 4</t>
        </is>
      </c>
      <c r="G17" s="9" t="inlineStr">
        <is>
          <t>Day 5</t>
        </is>
      </c>
      <c r="H17" s="9" t="inlineStr">
        <is>
          <t>K21,K31</t>
        </is>
      </c>
      <c r="I17" s="9" t="inlineStr">
        <is>
          <t>K43</t>
        </is>
      </c>
      <c r="J17" s="12" t="inlineStr">
        <is>
          <t>High</t>
        </is>
      </c>
      <c r="K17" s="9" t="inlineStr">
        <is>
          <t>Not started</t>
        </is>
      </c>
      <c r="L17" s="10" t="inlineStr"/>
    </row>
    <row r="18" ht="30" customHeight="1">
      <c r="A18" s="8" t="inlineStr">
        <is>
          <t>K23</t>
        </is>
      </c>
      <c r="B18" s="9" t="inlineStr">
        <is>
          <t>Server · Days 4–8</t>
        </is>
      </c>
      <c r="C18" s="9" t="inlineStr">
        <is>
          <t>Selorm Sem</t>
        </is>
      </c>
      <c r="D18" s="10" t="inlineStr">
        <is>
          <t>LLM fallback constrained to JSON + schema validation (safe re-ask on failure)</t>
        </is>
      </c>
      <c r="E18" s="10" t="inlineStr">
        <is>
          <t>Missed phrasings parse; bad output re-asks</t>
        </is>
      </c>
      <c r="F18" s="9" t="inlineStr">
        <is>
          <t>Day 4</t>
        </is>
      </c>
      <c r="G18" s="9" t="inlineStr">
        <is>
          <t>Day 6</t>
        </is>
      </c>
      <c r="H18" s="9" t="inlineStr">
        <is>
          <t>K21</t>
        </is>
      </c>
      <c r="I18" s="9" t="inlineStr">
        <is>
          <t>-</t>
        </is>
      </c>
      <c r="J18" s="13" t="inlineStr">
        <is>
          <t>Normal</t>
        </is>
      </c>
      <c r="K18" s="9" t="inlineStr">
        <is>
          <t>Not started</t>
        </is>
      </c>
      <c r="L18" s="10" t="inlineStr"/>
    </row>
    <row r="19" ht="30" customHeight="1">
      <c r="A19" s="8" t="inlineStr">
        <is>
          <t>K32</t>
        </is>
      </c>
      <c r="B19" s="9" t="inlineStr">
        <is>
          <t>Speech · Days 4–8</t>
        </is>
      </c>
      <c r="C19" s="9" t="inlineStr">
        <is>
          <t>Kelvin Agyare Yeboah</t>
        </is>
      </c>
      <c r="D19" s="10" t="inlineStr">
        <is>
          <t>Collect ~25–30 min command audio; bias decoding to command vocabulary</t>
        </is>
      </c>
      <c r="E19" s="10" t="inlineStr">
        <is>
          <t>Dataset + improved accuracy</t>
        </is>
      </c>
      <c r="F19" s="9" t="inlineStr">
        <is>
          <t>Day 3</t>
        </is>
      </c>
      <c r="G19" s="9" t="inlineStr">
        <is>
          <t>Day 6</t>
        </is>
      </c>
      <c r="H19" s="9" t="inlineStr">
        <is>
          <t>K30</t>
        </is>
      </c>
      <c r="I19" s="9" t="inlineStr">
        <is>
          <t>K34</t>
        </is>
      </c>
      <c r="J19" s="12" t="inlineStr">
        <is>
          <t>High</t>
        </is>
      </c>
      <c r="K19" s="9" t="inlineStr">
        <is>
          <t>Not started</t>
        </is>
      </c>
      <c r="L19" s="10" t="inlineStr"/>
    </row>
    <row r="20" ht="30" customHeight="1">
      <c r="A20" s="8" t="inlineStr">
        <is>
          <t>K33</t>
        </is>
      </c>
      <c r="B20" s="9" t="inlineStr">
        <is>
          <t>Speech · Days 4–8</t>
        </is>
      </c>
      <c r="C20" s="9" t="inlineStr">
        <is>
          <t>Kelvin Agyare Yeboah</t>
        </is>
      </c>
      <c r="D20" s="10" t="inlineStr">
        <is>
          <t>Pre-record fixed Twi prompts + number-to-Twi readback (say_amount_twi)</t>
        </is>
      </c>
      <c r="E20" s="10" t="inlineStr">
        <is>
          <t>Prompt pack + readback working</t>
        </is>
      </c>
      <c r="F20" s="9" t="inlineStr">
        <is>
          <t>Day 3</t>
        </is>
      </c>
      <c r="G20" s="9" t="inlineStr">
        <is>
          <t>Day 5</t>
        </is>
      </c>
      <c r="H20" s="9" t="inlineStr">
        <is>
          <t>K11</t>
        </is>
      </c>
      <c r="I20" s="9" t="inlineStr">
        <is>
          <t>K43</t>
        </is>
      </c>
      <c r="J20" s="12" t="inlineStr">
        <is>
          <t>High</t>
        </is>
      </c>
      <c r="K20" s="9" t="inlineStr">
        <is>
          <t>Not started</t>
        </is>
      </c>
      <c r="L20" s="10" t="inlineStr"/>
    </row>
    <row r="21" ht="30" customHeight="1">
      <c r="A21" s="8" t="inlineStr">
        <is>
          <t>K34</t>
        </is>
      </c>
      <c r="B21" s="9" t="inlineStr">
        <is>
          <t>Speech · Days 4–8</t>
        </is>
      </c>
      <c r="C21" s="9" t="inlineStr">
        <is>
          <t>Kelvin Agyare Yeboah</t>
        </is>
      </c>
      <c r="D21" s="10" t="inlineStr">
        <is>
          <t>Fine-tune ASR on command audio if accuracy needs it</t>
        </is>
      </c>
      <c r="E21" s="10" t="inlineStr">
        <is>
          <t>Better command accuracy (measured)</t>
        </is>
      </c>
      <c r="F21" s="9" t="inlineStr">
        <is>
          <t>Day 6</t>
        </is>
      </c>
      <c r="G21" s="9" t="inlineStr">
        <is>
          <t>Day 8</t>
        </is>
      </c>
      <c r="H21" s="9" t="inlineStr">
        <is>
          <t>K32</t>
        </is>
      </c>
      <c r="I21" s="9" t="inlineStr">
        <is>
          <t>K43</t>
        </is>
      </c>
      <c r="J21" s="13" t="inlineStr">
        <is>
          <t>Normal</t>
        </is>
      </c>
      <c r="K21" s="9" t="inlineStr">
        <is>
          <t>Not started</t>
        </is>
      </c>
      <c r="L21" s="10" t="inlineStr"/>
    </row>
    <row r="22" ht="30" customHeight="1">
      <c r="A22" s="8" t="inlineStr">
        <is>
          <t>K31b</t>
        </is>
      </c>
      <c r="B22" s="9" t="inlineStr">
        <is>
          <t>USSD · Days 4–8</t>
        </is>
      </c>
      <c r="C22" s="9" t="inlineStr">
        <is>
          <t>Frederick Kankam</t>
        </is>
      </c>
      <c r="D22" s="10" t="inlineStr">
        <is>
          <t>State machine: confirmed Intent -&gt; scripted USSD run (RealUssdEngine), fail-closed</t>
        </is>
      </c>
      <c r="E22" s="10" t="inlineStr">
        <is>
          <t>send-money runs on device</t>
        </is>
      </c>
      <c r="F22" s="9" t="inlineStr">
        <is>
          <t>Day 4</t>
        </is>
      </c>
      <c r="G22" s="9" t="inlineStr">
        <is>
          <t>Day 8</t>
        </is>
      </c>
      <c r="H22" s="9" t="inlineStr">
        <is>
          <t>K13</t>
        </is>
      </c>
      <c r="I22" s="9" t="inlineStr">
        <is>
          <t>K43</t>
        </is>
      </c>
      <c r="J22" s="11" t="inlineStr">
        <is>
          <t>Critical</t>
        </is>
      </c>
      <c r="K22" s="9" t="inlineStr">
        <is>
          <t>Not started</t>
        </is>
      </c>
      <c r="L22" s="10" t="inlineStr"/>
    </row>
    <row r="23" ht="30" customHeight="1">
      <c r="A23" s="8" t="inlineStr">
        <is>
          <t>K42</t>
        </is>
      </c>
      <c r="B23" s="9" t="inlineStr">
        <is>
          <t>App · Days 4–8</t>
        </is>
      </c>
      <c r="C23" s="9" t="inlineStr">
        <is>
          <t>Richmond Nyamedor</t>
        </is>
      </c>
      <c r="D23" s="10" t="inlineStr">
        <is>
          <t>Build Home, Listening, Confirm, Result screens — each TalkBack-clean</t>
        </is>
      </c>
      <c r="E23" s="10" t="inlineStr">
        <is>
          <t>4 screens, TalkBack pass each</t>
        </is>
      </c>
      <c r="F23" s="9" t="inlineStr">
        <is>
          <t>Day 2</t>
        </is>
      </c>
      <c r="G23" s="9" t="inlineStr">
        <is>
          <t>Day 7</t>
        </is>
      </c>
      <c r="H23" s="9" t="inlineStr">
        <is>
          <t>K20,K40</t>
        </is>
      </c>
      <c r="I23" s="9" t="inlineStr">
        <is>
          <t>K43</t>
        </is>
      </c>
      <c r="J23" s="12" t="inlineStr">
        <is>
          <t>High</t>
        </is>
      </c>
      <c r="K23" s="9" t="inlineStr">
        <is>
          <t>Not started</t>
        </is>
      </c>
      <c r="L23" s="10" t="inlineStr"/>
    </row>
    <row r="24" ht="30" customHeight="1">
      <c r="A24" s="8" t="inlineStr">
        <is>
          <t>K43</t>
        </is>
      </c>
      <c r="B24" s="9" t="inlineStr">
        <is>
          <t>Integration · Day 8</t>
        </is>
      </c>
      <c r="C24" s="9" t="inlineStr">
        <is>
          <t>All members</t>
        </is>
      </c>
      <c r="D24" s="10" t="inlineStr">
        <is>
          <t>JOIN THE PATH: voice→/understand→Intent→confirm→RealUssdEngine→PIN→result on device</t>
        </is>
      </c>
      <c r="E24" s="10" t="inlineStr">
        <is>
          <t>One full send-money end to end</t>
        </is>
      </c>
      <c r="F24" s="9" t="inlineStr">
        <is>
          <t>Day 6</t>
        </is>
      </c>
      <c r="G24" s="9" t="inlineStr">
        <is>
          <t>Day 8</t>
        </is>
      </c>
      <c r="H24" s="9" t="inlineStr">
        <is>
          <t>K22,K31b,K42,K33</t>
        </is>
      </c>
      <c r="I24" s="9" t="inlineStr">
        <is>
          <t>K50</t>
        </is>
      </c>
      <c r="J24" s="11" t="inlineStr">
        <is>
          <t>Critical</t>
        </is>
      </c>
      <c r="K24" s="9" t="inlineStr">
        <is>
          <t>Not started</t>
        </is>
      </c>
      <c r="L24" s="10" t="inlineStr"/>
    </row>
    <row r="25" ht="30" customHeight="1">
      <c r="A25" s="8" t="inlineStr">
        <is>
          <t>K44</t>
        </is>
      </c>
      <c r="B25" s="9" t="inlineStr">
        <is>
          <t>App · Days 9–12</t>
        </is>
      </c>
      <c r="C25" s="9" t="inlineStr">
        <is>
          <t>Richmond Nyamedor</t>
        </is>
      </c>
      <c r="D25" s="10" t="inlineStr">
        <is>
          <t>Symbol board builds the SAME Intent and enters the SAME confirm flow</t>
        </is>
      </c>
      <c r="E25" s="10" t="inlineStr">
        <is>
          <t>Symbol path -&gt; same Intent</t>
        </is>
      </c>
      <c r="F25" s="9" t="inlineStr">
        <is>
          <t>Day 9</t>
        </is>
      </c>
      <c r="G25" s="9" t="inlineStr">
        <is>
          <t>Day 11</t>
        </is>
      </c>
      <c r="H25" s="9" t="inlineStr">
        <is>
          <t>K43</t>
        </is>
      </c>
      <c r="I25" s="9" t="inlineStr">
        <is>
          <t>K50</t>
        </is>
      </c>
      <c r="J25" s="12" t="inlineStr">
        <is>
          <t>High</t>
        </is>
      </c>
      <c r="K25" s="9" t="inlineStr">
        <is>
          <t>Not started</t>
        </is>
      </c>
      <c r="L25" s="10" t="inlineStr"/>
    </row>
    <row r="26" ht="30" customHeight="1">
      <c r="A26" s="8" t="inlineStr">
        <is>
          <t>K24</t>
        </is>
      </c>
      <c r="B26" s="9" t="inlineStr">
        <is>
          <t>Server · Days 9–12</t>
        </is>
      </c>
      <c r="C26" s="9" t="inlineStr">
        <is>
          <t>Selorm Sem</t>
        </is>
      </c>
      <c r="D26" s="10" t="inlineStr">
        <is>
          <t>buy_data intent + audit log/receipt endpoint (action only, no PIN/audio)</t>
        </is>
      </c>
      <c r="E26" s="10" t="inlineStr">
        <is>
          <t>Data intent parses; receipt returns Twi summary</t>
        </is>
      </c>
      <c r="F26" s="9" t="inlineStr">
        <is>
          <t>Day 9</t>
        </is>
      </c>
      <c r="G26" s="9" t="inlineStr">
        <is>
          <t>Day 11</t>
        </is>
      </c>
      <c r="H26" s="9" t="inlineStr">
        <is>
          <t>K22</t>
        </is>
      </c>
      <c r="I26" s="9" t="inlineStr">
        <is>
          <t>K50</t>
        </is>
      </c>
      <c r="J26" s="13" t="inlineStr">
        <is>
          <t>Normal</t>
        </is>
      </c>
      <c r="K26" s="9" t="inlineStr">
        <is>
          <t>Not started</t>
        </is>
      </c>
      <c r="L26" s="10" t="inlineStr"/>
    </row>
    <row r="27" ht="30" customHeight="1">
      <c r="A27" s="8" t="inlineStr">
        <is>
          <t>K45</t>
        </is>
      </c>
      <c r="B27" s="9" t="inlineStr">
        <is>
          <t>App · Days 9–12</t>
        </is>
      </c>
      <c r="C27" s="9" t="inlineStr">
        <is>
          <t>Richmond Nyamedor</t>
        </is>
      </c>
      <c r="D27" s="10" t="inlineStr">
        <is>
          <t>Accessible PIN keypad (haptic, never announces digit, never stored)</t>
        </is>
      </c>
      <c r="E27" s="10" t="inlineStr">
        <is>
          <t>Keypad usable eyes-off</t>
        </is>
      </c>
      <c r="F27" s="9" t="inlineStr">
        <is>
          <t>Day 9</t>
        </is>
      </c>
      <c r="G27" s="9" t="inlineStr">
        <is>
          <t>Day 11</t>
        </is>
      </c>
      <c r="H27" s="9" t="inlineStr">
        <is>
          <t>K43</t>
        </is>
      </c>
      <c r="I27" s="9" t="inlineStr">
        <is>
          <t>K50</t>
        </is>
      </c>
      <c r="J27" s="12" t="inlineStr">
        <is>
          <t>High</t>
        </is>
      </c>
      <c r="K27" s="9" t="inlineStr">
        <is>
          <t>Not started</t>
        </is>
      </c>
      <c r="L27" s="10" t="inlineStr"/>
    </row>
    <row r="28" ht="30" customHeight="1">
      <c r="A28" s="8" t="inlineStr">
        <is>
          <t>K46</t>
        </is>
      </c>
      <c r="B28" s="9" t="inlineStr">
        <is>
          <t>App · Days 9–12</t>
        </is>
      </c>
      <c r="C28" s="9" t="inlineStr">
        <is>
          <t>Richmond Nyamedor</t>
        </is>
      </c>
      <c r="D28" s="10" t="inlineStr">
        <is>
          <t>Accessibility polish: no-timeout, contrast&gt;=4.5:1, captions, service-enable onboarding</t>
        </is>
      </c>
      <c r="E28" s="10" t="inlineStr">
        <is>
          <t>Full WCAG-AA pass on core flow</t>
        </is>
      </c>
      <c r="F28" s="9" t="inlineStr">
        <is>
          <t>Day 10</t>
        </is>
      </c>
      <c r="G28" s="9" t="inlineStr">
        <is>
          <t>Day 12</t>
        </is>
      </c>
      <c r="H28" s="9" t="inlineStr">
        <is>
          <t>K42</t>
        </is>
      </c>
      <c r="I28" s="9" t="inlineStr">
        <is>
          <t>K50</t>
        </is>
      </c>
      <c r="J28" s="12" t="inlineStr">
        <is>
          <t>High</t>
        </is>
      </c>
      <c r="K28" s="9" t="inlineStr">
        <is>
          <t>Not started</t>
        </is>
      </c>
      <c r="L28" s="10" t="inlineStr"/>
    </row>
    <row r="29" ht="30" customHeight="1">
      <c r="A29" s="8" t="inlineStr">
        <is>
          <t>K35</t>
        </is>
      </c>
      <c r="B29" s="9" t="inlineStr">
        <is>
          <t>Speech · Days 9–12</t>
        </is>
      </c>
      <c r="C29" s="9" t="inlineStr">
        <is>
          <t>Kelvin Agyare Yeboah</t>
        </is>
      </c>
      <c r="D29" s="10" t="inlineStr">
        <is>
          <t>Subgroup evaluation (speaker/amount/mic/noise/code-switch); fix worst subgroup</t>
        </is>
      </c>
      <c r="E29" s="10" t="inlineStr">
        <is>
          <t>Accuracy table; improved weak subgroup</t>
        </is>
      </c>
      <c r="F29" s="9" t="inlineStr">
        <is>
          <t>Day 9</t>
        </is>
      </c>
      <c r="G29" s="9" t="inlineStr">
        <is>
          <t>Day 12</t>
        </is>
      </c>
      <c r="H29" s="9" t="inlineStr">
        <is>
          <t>K34</t>
        </is>
      </c>
      <c r="I29" s="9" t="inlineStr">
        <is>
          <t>K51</t>
        </is>
      </c>
      <c r="J29" s="13" t="inlineStr">
        <is>
          <t>Normal</t>
        </is>
      </c>
      <c r="K29" s="9" t="inlineStr">
        <is>
          <t>Not started</t>
        </is>
      </c>
      <c r="L29" s="10" t="inlineStr"/>
    </row>
    <row r="30" ht="30" customHeight="1">
      <c r="A30" s="8" t="inlineStr">
        <is>
          <t>K32b</t>
        </is>
      </c>
      <c r="B30" s="9" t="inlineStr">
        <is>
          <t>USSD · Days 9–12</t>
        </is>
      </c>
      <c r="C30" s="9" t="inlineStr">
        <is>
          <t>Frederick Kankam</t>
        </is>
      </c>
      <c r="D30" s="10" t="inlineStr">
        <is>
          <t>Add buy-data flow; harden fail-closed on unexpected menus; test on multiple phones</t>
        </is>
      </c>
      <c r="E30" s="10" t="inlineStr">
        <is>
          <t>Data flow works; safe on mismatch</t>
        </is>
      </c>
      <c r="F30" s="9" t="inlineStr">
        <is>
          <t>Day 9</t>
        </is>
      </c>
      <c r="G30" s="9" t="inlineStr">
        <is>
          <t>Day 12</t>
        </is>
      </c>
      <c r="H30" s="9" t="inlineStr">
        <is>
          <t>K31b</t>
        </is>
      </c>
      <c r="I30" s="9" t="inlineStr">
        <is>
          <t>K50</t>
        </is>
      </c>
      <c r="J30" s="13" t="inlineStr">
        <is>
          <t>Normal</t>
        </is>
      </c>
      <c r="K30" s="9" t="inlineStr">
        <is>
          <t>Not started</t>
        </is>
      </c>
      <c r="L30" s="10" t="inlineStr"/>
    </row>
    <row r="31" ht="30" customHeight="1">
      <c r="A31" s="8" t="inlineStr">
        <is>
          <t>K50</t>
        </is>
      </c>
      <c r="B31" s="9" t="inlineStr">
        <is>
          <t>Test · Days 13–15</t>
        </is>
      </c>
      <c r="C31" s="9" t="inlineStr">
        <is>
          <t>Accessibility Lead</t>
        </is>
      </c>
      <c r="D31" s="10" t="inlineStr">
        <is>
          <t>User testing with 2–3 blind users on real tasks; log every point they get stuck</t>
        </is>
      </c>
      <c r="E31" s="10" t="inlineStr">
        <is>
          <t>Testing notes + change log</t>
        </is>
      </c>
      <c r="F31" s="9" t="inlineStr">
        <is>
          <t>Day 13</t>
        </is>
      </c>
      <c r="G31" s="9" t="inlineStr">
        <is>
          <t>Day 14</t>
        </is>
      </c>
      <c r="H31" s="9" t="inlineStr">
        <is>
          <t>K43,K44,K45,K46</t>
        </is>
      </c>
      <c r="I31" s="9" t="inlineStr">
        <is>
          <t>K51</t>
        </is>
      </c>
      <c r="J31" s="11" t="inlineStr">
        <is>
          <t>Critical</t>
        </is>
      </c>
      <c r="K31" s="9" t="inlineStr">
        <is>
          <t>Not started</t>
        </is>
      </c>
      <c r="L31" s="10" t="inlineStr"/>
    </row>
    <row r="32" ht="30" customHeight="1">
      <c r="A32" s="8" t="inlineStr">
        <is>
          <t>K51</t>
        </is>
      </c>
      <c r="B32" s="9" t="inlineStr">
        <is>
          <t>Test · Days 13–15</t>
        </is>
      </c>
      <c r="C32" s="9" t="inlineStr">
        <is>
          <t>All members</t>
        </is>
      </c>
      <c r="D32" s="10" t="inlineStr">
        <is>
          <t>Fix what testing broke; adversarial tests (silence, wrong name, network drop)</t>
        </is>
      </c>
      <c r="E32" s="10" t="inlineStr">
        <is>
          <t>Failures degrade safely, no crashes</t>
        </is>
      </c>
      <c r="F32" s="9" t="inlineStr">
        <is>
          <t>Day 13</t>
        </is>
      </c>
      <c r="G32" s="9" t="inlineStr">
        <is>
          <t>Day 15</t>
        </is>
      </c>
      <c r="H32" s="9" t="inlineStr">
        <is>
          <t>K50</t>
        </is>
      </c>
      <c r="I32" s="9" t="inlineStr">
        <is>
          <t>K53</t>
        </is>
      </c>
      <c r="J32" s="12" t="inlineStr">
        <is>
          <t>High</t>
        </is>
      </c>
      <c r="K32" s="9" t="inlineStr">
        <is>
          <t>Not started</t>
        </is>
      </c>
      <c r="L32" s="10" t="inlineStr"/>
    </row>
    <row r="33" ht="30" customHeight="1">
      <c r="A33" s="8" t="inlineStr">
        <is>
          <t>K52</t>
        </is>
      </c>
      <c r="B33" s="9" t="inlineStr">
        <is>
          <t>Test · Days 13–15</t>
        </is>
      </c>
      <c r="C33" s="9" t="inlineStr">
        <is>
          <t>Frederick Kankam</t>
        </is>
      </c>
      <c r="D33" s="10" t="inlineStr">
        <is>
          <t>Record a backup screen-capture of a full successful real run</t>
        </is>
      </c>
      <c r="E33" s="10" t="inlineStr">
        <is>
          <t>Backup video saved</t>
        </is>
      </c>
      <c r="F33" s="9" t="inlineStr">
        <is>
          <t>Day 13</t>
        </is>
      </c>
      <c r="G33" s="9" t="inlineStr">
        <is>
          <t>Day 14</t>
        </is>
      </c>
      <c r="H33" s="9" t="inlineStr">
        <is>
          <t>K43</t>
        </is>
      </c>
      <c r="I33" s="9" t="inlineStr">
        <is>
          <t>K53</t>
        </is>
      </c>
      <c r="J33" s="11" t="inlineStr">
        <is>
          <t>Critical</t>
        </is>
      </c>
      <c r="K33" s="9" t="inlineStr">
        <is>
          <t>Not started</t>
        </is>
      </c>
      <c r="L33" s="10" t="inlineStr"/>
    </row>
    <row r="34" ht="30" customHeight="1">
      <c r="A34" s="8" t="inlineStr">
        <is>
          <t>K53</t>
        </is>
      </c>
      <c r="B34" s="9" t="inlineStr">
        <is>
          <t>Present · Days 13–15</t>
        </is>
      </c>
      <c r="C34" s="9" t="inlineStr">
        <is>
          <t>Frederick Kankam</t>
        </is>
      </c>
      <c r="D34" s="10" t="inlineStr">
        <is>
          <t>Write + rehearse the 5-min presentation (narrator + phone driver); time it x3</t>
        </is>
      </c>
      <c r="E34" s="10" t="inlineStr">
        <is>
          <t>Rehearsed deck + demo script</t>
        </is>
      </c>
      <c r="F34" s="9" t="inlineStr">
        <is>
          <t>Day 14</t>
        </is>
      </c>
      <c r="G34" s="9" t="inlineStr">
        <is>
          <t>Day 15</t>
        </is>
      </c>
      <c r="H34" s="9" t="inlineStr">
        <is>
          <t>K51,K52</t>
        </is>
      </c>
      <c r="I34" s="9" t="inlineStr">
        <is>
          <t>K60</t>
        </is>
      </c>
      <c r="J34" s="12" t="inlineStr">
        <is>
          <t>High</t>
        </is>
      </c>
      <c r="K34" s="9" t="inlineStr">
        <is>
          <t>Not started</t>
        </is>
      </c>
      <c r="L34" s="10" t="inlineStr"/>
    </row>
    <row r="35" ht="30" customHeight="1">
      <c r="A35" s="8" t="inlineStr">
        <is>
          <t>K54</t>
        </is>
      </c>
      <c r="B35" s="9" t="inlineStr">
        <is>
          <t>Present · Days 13–15</t>
        </is>
      </c>
      <c r="C35" s="9" t="inlineStr">
        <is>
          <t>Accessibility Lead</t>
        </is>
      </c>
      <c r="D35" s="10" t="inlineStr">
        <is>
          <t>Prepare the one-line user-testing evidence ('we changed X after Y')</t>
        </is>
      </c>
      <c r="E35" s="10" t="inlineStr">
        <is>
          <t>Evidence line agreed</t>
        </is>
      </c>
      <c r="F35" s="9" t="inlineStr">
        <is>
          <t>Day 14</t>
        </is>
      </c>
      <c r="G35" s="9" t="inlineStr">
        <is>
          <t>Day 15</t>
        </is>
      </c>
      <c r="H35" s="9" t="inlineStr">
        <is>
          <t>K50</t>
        </is>
      </c>
      <c r="I35" s="9" t="inlineStr">
        <is>
          <t>K60</t>
        </is>
      </c>
      <c r="J35" s="12" t="inlineStr">
        <is>
          <t>High</t>
        </is>
      </c>
      <c r="K35" s="9" t="inlineStr">
        <is>
          <t>Not started</t>
        </is>
      </c>
      <c r="L35" s="10" t="inlineStr"/>
    </row>
    <row r="36" ht="30" customHeight="1">
      <c r="A36" s="8" t="inlineStr">
        <is>
          <t>K60</t>
        </is>
      </c>
      <c r="B36" s="9" t="inlineStr">
        <is>
          <t>Present · 23–24 Sept</t>
        </is>
      </c>
      <c r="C36" s="9" t="inlineStr">
        <is>
          <t>All members</t>
        </is>
      </c>
      <c r="D36" s="10" t="inlineStr">
        <is>
          <t>Deliver the live prototype presentation to the mentors</t>
        </is>
      </c>
      <c r="E36" s="10" t="inlineStr">
        <is>
          <t>Presentation done</t>
        </is>
      </c>
      <c r="F36" s="9" t="inlineStr">
        <is>
          <t>Day 16</t>
        </is>
      </c>
      <c r="G36" s="9" t="inlineStr">
        <is>
          <t>Day 17</t>
        </is>
      </c>
      <c r="H36" s="9" t="inlineStr">
        <is>
          <t>K53,K54</t>
        </is>
      </c>
      <c r="I36" s="9" t="inlineStr">
        <is>
          <t>(final)</t>
        </is>
      </c>
      <c r="J36" s="11" t="inlineStr">
        <is>
          <t>Critical</t>
        </is>
      </c>
      <c r="K36" s="9" t="inlineStr">
        <is>
          <t>Not started</t>
        </is>
      </c>
      <c r="L36" s="10" t="inlineStr"/>
    </row>
  </sheetData>
  <conditionalFormatting sqref="K2:K36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dataValidations count="1">
    <dataValidation sqref="K2:K36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0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20" customWidth="1" min="3" max="3"/>
    <col width="9" customWidth="1" min="4" max="4"/>
    <col width="9" customWidth="1" min="5" max="5"/>
    <col width="13" customWidth="1" min="6" max="6"/>
    <col width="10" customWidth="1" min="7" max="7"/>
    <col width="12" customWidth="1" min="8" max="8"/>
    <col width="12" customWidth="1" min="9" max="9"/>
  </cols>
  <sheetData>
    <row r="2">
      <c r="B2" s="14" t="inlineStr">
        <is>
          <t>PROGRESS BY PERSON (auto-updates from Task Tracker)</t>
        </is>
      </c>
    </row>
    <row r="4">
      <c r="B4" s="7" t="inlineStr">
        <is>
          <t>Member</t>
        </is>
      </c>
      <c r="C4" s="7" t="inlineStr">
        <is>
          <t>Squad</t>
        </is>
      </c>
      <c r="D4" s="7" t="inlineStr">
        <is>
          <t>Total</t>
        </is>
      </c>
      <c r="E4" s="7" t="inlineStr">
        <is>
          <t>Done</t>
        </is>
      </c>
      <c r="F4" s="7" t="inlineStr">
        <is>
          <t>In progress</t>
        </is>
      </c>
      <c r="G4" s="7" t="inlineStr">
        <is>
          <t>Blocked</t>
        </is>
      </c>
      <c r="H4" s="7" t="inlineStr">
        <is>
          <t>Not started</t>
        </is>
      </c>
      <c r="I4" s="7" t="inlineStr">
        <is>
          <t>% Complete</t>
        </is>
      </c>
    </row>
    <row r="5">
      <c r="B5" s="15" t="inlineStr">
        <is>
          <t>Frederick Kankam</t>
        </is>
      </c>
      <c r="C5" s="10" t="inlineStr">
        <is>
          <t>USSD / Integration</t>
        </is>
      </c>
      <c r="D5" s="16">
        <f>COUNTIF('Task Tracker'!$C$2:$C$36,$B5)+COUNTIF('Task Tracker'!$C$2:$C$36,"All members")</f>
        <v/>
      </c>
      <c r="E5" s="16">
        <f>COUNTIFS('Task Tracker'!$C$2:$C$36,$B5,'Task Tracker'!$K$2:$K$36,"Done")+COUNTIFS('Task Tracker'!$C$2:$C$36,"All members",'Task Tracker'!$K$2:$K$36,"Done")</f>
        <v/>
      </c>
      <c r="F5" s="16">
        <f>COUNTIFS('Task Tracker'!$C$2:$C$36,$B5,'Task Tracker'!$K$2:$K$36,"In progress")+COUNTIFS('Task Tracker'!$C$2:$C$36,"All members",'Task Tracker'!$K$2:$K$36,"In progress")</f>
        <v/>
      </c>
      <c r="G5" s="16">
        <f>COUNTIFS('Task Tracker'!$C$2:$C$36,$B5,'Task Tracker'!$K$2:$K$36,"Blocked")+COUNTIFS('Task Tracker'!$C$2:$C$36,"All members",'Task Tracker'!$K$2:$K$36,"Blocked")</f>
        <v/>
      </c>
      <c r="H5" s="16">
        <f>COUNTIFS('Task Tracker'!$C$2:$C$36,$B5,'Task Tracker'!$K$2:$K$36,"Not started")+COUNTIFS('Task Tracker'!$C$2:$C$36,"All members",'Task Tracker'!$K$2:$K$36,"Not started")</f>
        <v/>
      </c>
      <c r="I5" s="17">
        <f>IFERROR($E5/$D5,0)</f>
        <v/>
      </c>
    </row>
    <row r="6">
      <c r="B6" s="15" t="inlineStr">
        <is>
          <t>Selorm Sem</t>
        </is>
      </c>
      <c r="C6" s="10" t="inlineStr">
        <is>
          <t>Server / NLU</t>
        </is>
      </c>
      <c r="D6" s="16">
        <f>COUNTIF('Task Tracker'!$C$2:$C$36,$B6)+COUNTIF('Task Tracker'!$C$2:$C$36,"All members")</f>
        <v/>
      </c>
      <c r="E6" s="16">
        <f>COUNTIFS('Task Tracker'!$C$2:$C$36,$B6,'Task Tracker'!$K$2:$K$36,"Done")+COUNTIFS('Task Tracker'!$C$2:$C$36,"All members",'Task Tracker'!$K$2:$K$36,"Done")</f>
        <v/>
      </c>
      <c r="F6" s="16">
        <f>COUNTIFS('Task Tracker'!$C$2:$C$36,$B6,'Task Tracker'!$K$2:$K$36,"In progress")+COUNTIFS('Task Tracker'!$C$2:$C$36,"All members",'Task Tracker'!$K$2:$K$36,"In progress")</f>
        <v/>
      </c>
      <c r="G6" s="16">
        <f>COUNTIFS('Task Tracker'!$C$2:$C$36,$B6,'Task Tracker'!$K$2:$K$36,"Blocked")+COUNTIFS('Task Tracker'!$C$2:$C$36,"All members",'Task Tracker'!$K$2:$K$36,"Blocked")</f>
        <v/>
      </c>
      <c r="H6" s="16">
        <f>COUNTIFS('Task Tracker'!$C$2:$C$36,$B6,'Task Tracker'!$K$2:$K$36,"Not started")+COUNTIFS('Task Tracker'!$C$2:$C$36,"All members",'Task Tracker'!$K$2:$K$36,"Not started")</f>
        <v/>
      </c>
      <c r="I6" s="17">
        <f>IFERROR($E6/$D6,0)</f>
        <v/>
      </c>
    </row>
    <row r="7">
      <c r="B7" s="15" t="inlineStr">
        <is>
          <t>Kelvin Agyare Yeboah</t>
        </is>
      </c>
      <c r="C7" s="10" t="inlineStr">
        <is>
          <t>Speech (ASR/TTS)</t>
        </is>
      </c>
      <c r="D7" s="16">
        <f>COUNTIF('Task Tracker'!$C$2:$C$36,$B7)+COUNTIF('Task Tracker'!$C$2:$C$36,"All members")</f>
        <v/>
      </c>
      <c r="E7" s="16">
        <f>COUNTIFS('Task Tracker'!$C$2:$C$36,$B7,'Task Tracker'!$K$2:$K$36,"Done")+COUNTIFS('Task Tracker'!$C$2:$C$36,"All members",'Task Tracker'!$K$2:$K$36,"Done")</f>
        <v/>
      </c>
      <c r="F7" s="16">
        <f>COUNTIFS('Task Tracker'!$C$2:$C$36,$B7,'Task Tracker'!$K$2:$K$36,"In progress")+COUNTIFS('Task Tracker'!$C$2:$C$36,"All members",'Task Tracker'!$K$2:$K$36,"In progress")</f>
        <v/>
      </c>
      <c r="G7" s="16">
        <f>COUNTIFS('Task Tracker'!$C$2:$C$36,$B7,'Task Tracker'!$K$2:$K$36,"Blocked")+COUNTIFS('Task Tracker'!$C$2:$C$36,"All members",'Task Tracker'!$K$2:$K$36,"Blocked")</f>
        <v/>
      </c>
      <c r="H7" s="16">
        <f>COUNTIFS('Task Tracker'!$C$2:$C$36,$B7,'Task Tracker'!$K$2:$K$36,"Not started")+COUNTIFS('Task Tracker'!$C$2:$C$36,"All members",'Task Tracker'!$K$2:$K$36,"Not started")</f>
        <v/>
      </c>
      <c r="I7" s="17">
        <f>IFERROR($E7/$D7,0)</f>
        <v/>
      </c>
    </row>
    <row r="8">
      <c r="B8" s="15" t="inlineStr">
        <is>
          <t>Richmond Nyamedor</t>
        </is>
      </c>
      <c r="C8" s="10" t="inlineStr">
        <is>
          <t>App / Accessibility</t>
        </is>
      </c>
      <c r="D8" s="16">
        <f>COUNTIF('Task Tracker'!$C$2:$C$36,$B8)+COUNTIF('Task Tracker'!$C$2:$C$36,"All members")</f>
        <v/>
      </c>
      <c r="E8" s="16">
        <f>COUNTIFS('Task Tracker'!$C$2:$C$36,$B8,'Task Tracker'!$K$2:$K$36,"Done")+COUNTIFS('Task Tracker'!$C$2:$C$36,"All members",'Task Tracker'!$K$2:$K$36,"Done")</f>
        <v/>
      </c>
      <c r="F8" s="16">
        <f>COUNTIFS('Task Tracker'!$C$2:$C$36,$B8,'Task Tracker'!$K$2:$K$36,"In progress")+COUNTIFS('Task Tracker'!$C$2:$C$36,"All members",'Task Tracker'!$K$2:$K$36,"In progress")</f>
        <v/>
      </c>
      <c r="G8" s="16">
        <f>COUNTIFS('Task Tracker'!$C$2:$C$36,$B8,'Task Tracker'!$K$2:$K$36,"Blocked")+COUNTIFS('Task Tracker'!$C$2:$C$36,"All members",'Task Tracker'!$K$2:$K$36,"Blocked")</f>
        <v/>
      </c>
      <c r="H8" s="16">
        <f>COUNTIFS('Task Tracker'!$C$2:$C$36,$B8,'Task Tracker'!$K$2:$K$36,"Not started")+COUNTIFS('Task Tracker'!$C$2:$C$36,"All members",'Task Tracker'!$K$2:$K$36,"Not started")</f>
        <v/>
      </c>
      <c r="I8" s="17">
        <f>IFERROR($E8/$D8,0)</f>
        <v/>
      </c>
    </row>
    <row r="9">
      <c r="B9" s="15" t="inlineStr">
        <is>
          <t>Accessibility Lead</t>
        </is>
      </c>
      <c r="C9" s="10" t="inlineStr">
        <is>
          <t>Inclusion / QA</t>
        </is>
      </c>
      <c r="D9" s="16">
        <f>COUNTIF('Task Tracker'!$C$2:$C$36,$B9)+COUNTIF('Task Tracker'!$C$2:$C$36,"All members")</f>
        <v/>
      </c>
      <c r="E9" s="16">
        <f>COUNTIFS('Task Tracker'!$C$2:$C$36,$B9,'Task Tracker'!$K$2:$K$36,"Done")+COUNTIFS('Task Tracker'!$C$2:$C$36,"All members",'Task Tracker'!$K$2:$K$36,"Done")</f>
        <v/>
      </c>
      <c r="F9" s="16">
        <f>COUNTIFS('Task Tracker'!$C$2:$C$36,$B9,'Task Tracker'!$K$2:$K$36,"In progress")+COUNTIFS('Task Tracker'!$C$2:$C$36,"All members",'Task Tracker'!$K$2:$K$36,"In progress")</f>
        <v/>
      </c>
      <c r="G9" s="16">
        <f>COUNTIFS('Task Tracker'!$C$2:$C$36,$B9,'Task Tracker'!$K$2:$K$36,"Blocked")+COUNTIFS('Task Tracker'!$C$2:$C$36,"All members",'Task Tracker'!$K$2:$K$36,"Blocked")</f>
        <v/>
      </c>
      <c r="H9" s="16">
        <f>COUNTIFS('Task Tracker'!$C$2:$C$36,$B9,'Task Tracker'!$K$2:$K$36,"Not started")+COUNTIFS('Task Tracker'!$C$2:$C$36,"All members",'Task Tracker'!$K$2:$K$36,"Not started")</f>
        <v/>
      </c>
      <c r="I9" s="17">
        <f>IFERROR($E9/$D9,0)</f>
        <v/>
      </c>
    </row>
    <row r="10">
      <c r="B10" s="18" t="inlineStr">
        <is>
          <t>TEAM</t>
        </is>
      </c>
      <c r="D10" s="19">
        <f>SUM(D5:D9)</f>
        <v/>
      </c>
      <c r="E10" s="19">
        <f>SUM(E5:E9)</f>
        <v/>
      </c>
      <c r="F10" s="19">
        <f>SUM(F5:F9)</f>
        <v/>
      </c>
      <c r="G10" s="19">
        <f>SUM(G5:G9)</f>
        <v/>
      </c>
      <c r="H10" s="19">
        <f>SUM(H5:H9)</f>
        <v/>
      </c>
      <c r="I10" s="20">
        <f>IFERROR($E10/$D10,0)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3"/>
  <sheetViews>
    <sheetView showGridLines="0" workbookViewId="0">
      <selection activeCell="A1" sqref="A1"/>
    </sheetView>
  </sheetViews>
  <sheetFormatPr baseColWidth="8" defaultRowHeight="15"/>
  <cols>
    <col width="10" customWidth="1" min="2" max="2"/>
    <col width="14" customWidth="1" min="3" max="3"/>
    <col width="26" customWidth="1" min="4" max="4"/>
    <col width="52" customWidth="1" min="5" max="5"/>
    <col width="20" customWidth="1" min="6" max="6"/>
  </cols>
  <sheetData>
    <row r="2">
      <c r="B2" s="14" t="inlineStr">
        <is>
          <t>FIXED CHECKPOINTS — nothing moves these</t>
        </is>
      </c>
    </row>
    <row r="4">
      <c r="B4" s="7" t="inlineStr">
        <is>
          <t>By</t>
        </is>
      </c>
      <c r="C4" s="7" t="inlineStr">
        <is>
          <t>Phase</t>
        </is>
      </c>
      <c r="D4" s="7" t="inlineStr">
        <is>
          <t>Milestone</t>
        </is>
      </c>
      <c r="E4" s="7" t="inlineStr">
        <is>
          <t>What must be true</t>
        </is>
      </c>
      <c r="F4" s="7" t="inlineStr">
        <is>
          <t>Accountable</t>
        </is>
      </c>
    </row>
    <row r="5" ht="30" customHeight="1">
      <c r="B5" s="8" t="inlineStr">
        <is>
          <t>Day 1</t>
        </is>
      </c>
      <c r="C5" s="9" t="inlineStr">
        <is>
          <t>Setup</t>
        </is>
      </c>
      <c r="D5" s="15" t="inlineStr">
        <is>
          <t>Kickoff + repo + design session</t>
        </is>
      </c>
      <c r="E5" s="10" t="inlineStr">
        <is>
          <t>Roles set, repo live, PIN/wake/contacts decided, phone+SIM secured</t>
        </is>
      </c>
      <c r="F5" s="9" t="inlineStr">
        <is>
          <t>Frederick</t>
        </is>
      </c>
    </row>
    <row r="6" ht="30" customHeight="1">
      <c r="B6" s="21" t="inlineStr">
        <is>
          <t>Day 3</t>
        </is>
      </c>
      <c r="C6" s="12" t="inlineStr">
        <is>
          <t>Spike</t>
        </is>
      </c>
      <c r="D6" s="22" t="inlineStr">
        <is>
          <t>USSD GO/NO-GO</t>
        </is>
      </c>
      <c r="E6" s="23" t="inlineStr">
        <is>
          <t>Balance reads aloud; interactive USSD proven on 2 phones OR assisted mode chosen</t>
        </is>
      </c>
      <c r="F6" s="12" t="inlineStr">
        <is>
          <t>Frederick</t>
        </is>
      </c>
    </row>
    <row r="7" ht="30" customHeight="1">
      <c r="B7" s="8" t="inlineStr">
        <is>
          <t>Day 3</t>
        </is>
      </c>
      <c r="C7" s="9" t="inlineStr">
        <is>
          <t>Spike</t>
        </is>
      </c>
      <c r="D7" s="15" t="inlineStr">
        <is>
          <t>Pipeline unblocked</t>
        </is>
      </c>
      <c r="E7" s="10" t="inlineStr">
        <is>
          <t>/health live, baseline ASR handed over, app builds on fakes</t>
        </is>
      </c>
      <c r="F7" s="9" t="inlineStr">
        <is>
          <t>Selorm</t>
        </is>
      </c>
    </row>
    <row r="8" ht="30" customHeight="1">
      <c r="B8" s="21" t="inlineStr">
        <is>
          <t>Day 8</t>
        </is>
      </c>
      <c r="C8" s="12" t="inlineStr">
        <is>
          <t>Integration</t>
        </is>
      </c>
      <c r="D8" s="22" t="inlineStr">
        <is>
          <t>THIN PATH JOINED</t>
        </is>
      </c>
      <c r="E8" s="23" t="inlineStr">
        <is>
          <t>One full send-money: voice→intent→confirm→USSD→user PIN→result on a real phone</t>
        </is>
      </c>
      <c r="F8" s="12" t="inlineStr">
        <is>
          <t>All</t>
        </is>
      </c>
    </row>
    <row r="9" ht="30" customHeight="1">
      <c r="B9" s="8" t="inlineStr">
        <is>
          <t>Day 12</t>
        </is>
      </c>
      <c r="C9" s="9" t="inlineStr">
        <is>
          <t>Breadth</t>
        </is>
      </c>
      <c r="D9" s="15" t="inlineStr">
        <is>
          <t>Feature complete</t>
        </is>
      </c>
      <c r="E9" s="10" t="inlineStr">
        <is>
          <t>Symbol board + buy-data + full accessibility (TalkBack, no-timeout, captions, keypad)</t>
        </is>
      </c>
      <c r="F9" s="9" t="inlineStr">
        <is>
          <t>Richmond</t>
        </is>
      </c>
    </row>
    <row r="10" ht="30" customHeight="1">
      <c r="B10" s="8" t="inlineStr">
        <is>
          <t>Day 14</t>
        </is>
      </c>
      <c r="C10" s="9" t="inlineStr">
        <is>
          <t>Test</t>
        </is>
      </c>
      <c r="D10" s="15" t="inlineStr">
        <is>
          <t>User-tested</t>
        </is>
      </c>
      <c r="E10" s="10" t="inlineStr">
        <is>
          <t>2–3 blind users completed tasks; change log written; backup video recorded</t>
        </is>
      </c>
      <c r="F10" s="9" t="inlineStr">
        <is>
          <t>Accessibility Lead</t>
        </is>
      </c>
    </row>
    <row r="11" ht="30" customHeight="1">
      <c r="B11" s="8" t="inlineStr">
        <is>
          <t>Day 15</t>
        </is>
      </c>
      <c r="C11" s="9" t="inlineStr">
        <is>
          <t>Rehearse</t>
        </is>
      </c>
      <c r="D11" s="15" t="inlineStr">
        <is>
          <t>Demo-ready</t>
        </is>
      </c>
      <c r="E11" s="10" t="inlineStr">
        <is>
          <t>Fixes in; adversarial tests pass safely; 5-min presentation rehearsed x3</t>
        </is>
      </c>
      <c r="F11" s="9" t="inlineStr">
        <is>
          <t>Frederick</t>
        </is>
      </c>
    </row>
    <row r="12" ht="30" customHeight="1">
      <c r="B12" s="21" t="inlineStr">
        <is>
          <t>23–24 Sept</t>
        </is>
      </c>
      <c r="C12" s="12" t="inlineStr">
        <is>
          <t>Present</t>
        </is>
      </c>
      <c r="D12" s="22" t="inlineStr">
        <is>
          <t>SECOND SCREENING</t>
        </is>
      </c>
      <c r="E12" s="23" t="inlineStr">
        <is>
          <t>Live prototype presented to mentors</t>
        </is>
      </c>
      <c r="F12" s="12" t="inlineStr">
        <is>
          <t>All</t>
        </is>
      </c>
    </row>
    <row r="13" ht="30" customHeight="1">
      <c r="B13" s="8" t="inlineStr">
        <is>
          <t>26 Sept</t>
        </is>
      </c>
      <c r="C13" s="9" t="inlineStr">
        <is>
          <t>Result</t>
        </is>
      </c>
      <c r="D13" s="15" t="inlineStr">
        <is>
          <t>Top 25</t>
        </is>
      </c>
      <c r="E13" s="10" t="inlineStr">
        <is>
          <t>Selection announced</t>
        </is>
      </c>
      <c r="F13" s="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E9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30" customWidth="1" min="3" max="3"/>
    <col width="20" customWidth="1" min="4" max="4"/>
    <col width="60" customWidth="1" min="5" max="5"/>
  </cols>
  <sheetData>
    <row r="2">
      <c r="B2" s="14" t="inlineStr">
        <is>
          <t>WHO OWNS WHAT</t>
        </is>
      </c>
    </row>
    <row r="4">
      <c r="B4" s="7" t="inlineStr">
        <is>
          <t>Member</t>
        </is>
      </c>
      <c r="C4" s="7" t="inlineStr">
        <is>
          <t>Role</t>
        </is>
      </c>
      <c r="D4" s="7" t="inlineStr">
        <is>
          <t>Squad</t>
        </is>
      </c>
      <c r="E4" s="7" t="inlineStr">
        <is>
          <t>Owns (in one line)</t>
        </is>
      </c>
    </row>
    <row r="5" ht="34" customHeight="1">
      <c r="B5" s="15" t="inlineStr">
        <is>
          <t>Frederick Kankam</t>
        </is>
      </c>
      <c r="C5" s="10" t="inlineStr">
        <is>
          <t>Project Lead + USSD Engineer</t>
        </is>
      </c>
      <c r="D5" s="10" t="inlineStr">
        <is>
          <t>USSD / Integration</t>
        </is>
      </c>
      <c r="E5" s="10" t="inlineStr">
        <is>
          <t>The risky module: driving USSD safely, PIN hand-off, architecture, standups, demo</t>
        </is>
      </c>
    </row>
    <row r="6" ht="34" customHeight="1">
      <c r="B6" s="15" t="inlineStr">
        <is>
          <t>Selorm Sem</t>
        </is>
      </c>
      <c r="C6" s="10" t="inlineStr">
        <is>
          <t>Backend Engineer</t>
        </is>
      </c>
      <c r="D6" s="10" t="inlineStr">
        <is>
          <t>Server / NLU</t>
        </is>
      </c>
      <c r="E6" s="10" t="inlineStr">
        <is>
          <t>Inference server, Twi command parser, intent schema, audit log</t>
        </is>
      </c>
    </row>
    <row r="7" ht="34" customHeight="1">
      <c r="B7" s="15" t="inlineStr">
        <is>
          <t>Kelvin Agyare Yeboah</t>
        </is>
      </c>
      <c r="C7" s="10" t="inlineStr">
        <is>
          <t>ML Engineer</t>
        </is>
      </c>
      <c r="D7" s="10" t="inlineStr">
        <is>
          <t>Speech (ASR/TTS)</t>
        </is>
      </c>
      <c r="E7" s="10" t="inlineStr">
        <is>
          <t>Twi speech-in and speech-out behind clean functions; fine-tuning; number-to-Twi</t>
        </is>
      </c>
    </row>
    <row r="8" ht="34" customHeight="1">
      <c r="B8" s="15" t="inlineStr">
        <is>
          <t>Richmond Nyamedor</t>
        </is>
      </c>
      <c r="C8" s="10" t="inlineStr">
        <is>
          <t>Frontend (Android) Engineer</t>
        </is>
      </c>
      <c r="D8" s="10" t="inlineStr">
        <is>
          <t>App / Accessibility</t>
        </is>
      </c>
      <c r="E8" s="10" t="inlineStr">
        <is>
          <t>Native Kotlin app, screens, accessibility, capture, confirm, symbol board, PIN keypad</t>
        </is>
      </c>
    </row>
    <row r="9" ht="34" customHeight="1">
      <c r="B9" s="15" t="inlineStr">
        <is>
          <t>Accessibility Lead</t>
        </is>
      </c>
      <c r="C9" s="10" t="inlineStr">
        <is>
          <t>Co-design + User Testing</t>
        </is>
      </c>
      <c r="D9" s="10" t="inlineStr">
        <is>
          <t>Inclusion / QA</t>
        </is>
      </c>
      <c r="E9" s="10" t="inlineStr">
        <is>
          <t>Owns PIN-entry decision, tests every screen, recruits blind testers, source of truth on Twi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18"/>
  <sheetViews>
    <sheetView showGridLines="0" workbookViewId="0">
      <selection activeCell="A1" sqref="A1"/>
    </sheetView>
  </sheetViews>
  <sheetFormatPr baseColWidth="8" defaultRowHeight="15"/>
  <cols>
    <col width="60" customWidth="1" min="2" max="2"/>
    <col width="22" customWidth="1" min="3" max="3"/>
    <col width="10" customWidth="1" min="4" max="4"/>
    <col width="34" customWidth="1" min="5" max="5"/>
  </cols>
  <sheetData>
    <row r="2">
      <c r="B2" s="14" t="inlineStr">
        <is>
          <t>WHAT MUST BE TRUE TO PRESENT ON 23 SEPT</t>
        </is>
      </c>
    </row>
    <row r="4">
      <c r="B4" s="7" t="inlineStr">
        <is>
          <t>Requirement</t>
        </is>
      </c>
      <c r="C4" s="7" t="inlineStr">
        <is>
          <t>Accountable</t>
        </is>
      </c>
      <c r="D4" s="7" t="inlineStr">
        <is>
          <t>Done?</t>
        </is>
      </c>
      <c r="E4" s="7" t="inlineStr">
        <is>
          <t>Evidence / location</t>
        </is>
      </c>
    </row>
    <row r="5" ht="28" customHeight="1">
      <c r="B5" s="10" t="inlineStr">
        <is>
          <t>Twi voice command is recognised and turned into a correct Intent</t>
        </is>
      </c>
      <c r="C5" s="10" t="inlineStr">
        <is>
          <t>Selorm / Kelvin</t>
        </is>
      </c>
      <c r="D5" s="9" t="inlineStr">
        <is>
          <t>No</t>
        </is>
      </c>
      <c r="E5" s="24" t="inlineStr"/>
    </row>
    <row r="6" ht="28" customHeight="1">
      <c r="B6" s="10" t="inlineStr">
        <is>
          <t>Confirm-before-execute: app speaks + shows summary, waits for explicit approval</t>
        </is>
      </c>
      <c r="C6" s="10" t="inlineStr">
        <is>
          <t>Richmond</t>
        </is>
      </c>
      <c r="D6" s="9" t="inlineStr">
        <is>
          <t>No</t>
        </is>
      </c>
      <c r="E6" s="24" t="inlineStr"/>
    </row>
    <row r="7" ht="28" customHeight="1">
      <c r="B7" s="10" t="inlineStr">
        <is>
          <t>Balance read back aloud in Twi on a real phone</t>
        </is>
      </c>
      <c r="C7" s="10" t="inlineStr">
        <is>
          <t>Frederick / Kelvin</t>
        </is>
      </c>
      <c r="D7" s="9" t="inlineStr">
        <is>
          <t>No</t>
        </is>
      </c>
      <c r="E7" s="24" t="inlineStr"/>
    </row>
    <row r="8" ht="28" customHeight="1">
      <c r="B8" s="10" t="inlineStr">
        <is>
          <t>Send-money drives USSD and STOPS at the PIN for the user to enter (or assisted mode)</t>
        </is>
      </c>
      <c r="C8" s="10" t="inlineStr">
        <is>
          <t>Frederick</t>
        </is>
      </c>
      <c r="D8" s="9" t="inlineStr">
        <is>
          <t>No</t>
        </is>
      </c>
      <c r="E8" s="24" t="inlineStr"/>
    </row>
    <row r="9" ht="28" customHeight="1">
      <c r="B9" s="10" t="inlineStr">
        <is>
          <t>PIN is never stored, never transmitted, never spoken</t>
        </is>
      </c>
      <c r="C9" s="10" t="inlineStr">
        <is>
          <t>Frederick / Richmond</t>
        </is>
      </c>
      <c r="D9" s="9" t="inlineStr">
        <is>
          <t>No</t>
        </is>
      </c>
      <c r="E9" s="24" t="inlineStr"/>
    </row>
    <row r="10" ht="28" customHeight="1">
      <c r="B10" s="10" t="inlineStr">
        <is>
          <t>One non-transfer intent (buy data) works — proves it is not hard-coded</t>
        </is>
      </c>
      <c r="C10" s="10" t="inlineStr">
        <is>
          <t>Selorm / Frederick</t>
        </is>
      </c>
      <c r="D10" s="9" t="inlineStr">
        <is>
          <t>No</t>
        </is>
      </c>
      <c r="E10" s="24" t="inlineStr"/>
    </row>
    <row r="11" ht="28" customHeight="1">
      <c r="B11" s="10" t="inlineStr">
        <is>
          <t>Symbol board produces the same Intent and confirm flow</t>
        </is>
      </c>
      <c r="C11" s="10" t="inlineStr">
        <is>
          <t>Richmond</t>
        </is>
      </c>
      <c r="D11" s="9" t="inlineStr">
        <is>
          <t>No</t>
        </is>
      </c>
      <c r="E11" s="24" t="inlineStr"/>
    </row>
    <row r="12" ht="28" customHeight="1">
      <c r="B12" s="10" t="inlineStr">
        <is>
          <t>Usable with TalkBack, eyes-off, by a blind user</t>
        </is>
      </c>
      <c r="C12" s="10" t="inlineStr">
        <is>
          <t>Richmond / Accessibility Lead</t>
        </is>
      </c>
      <c r="D12" s="9" t="inlineStr">
        <is>
          <t>No</t>
        </is>
      </c>
      <c r="E12" s="24" t="inlineStr"/>
    </row>
    <row r="13" ht="28" customHeight="1">
      <c r="B13" s="10" t="inlineStr">
        <is>
          <t>Captions on all spoken output; contrast and text size meet WCAG AA</t>
        </is>
      </c>
      <c r="C13" s="10" t="inlineStr">
        <is>
          <t>Richmond</t>
        </is>
      </c>
      <c r="D13" s="9" t="inlineStr">
        <is>
          <t>No</t>
        </is>
      </c>
      <c r="E13" s="24" t="inlineStr"/>
    </row>
    <row r="14" ht="28" customHeight="1">
      <c r="B14" s="10" t="inlineStr">
        <is>
          <t>Works on a low-end phone over USSD (no dependency on good data)</t>
        </is>
      </c>
      <c r="C14" s="10" t="inlineStr">
        <is>
          <t>Frederick</t>
        </is>
      </c>
      <c r="D14" s="9" t="inlineStr">
        <is>
          <t>No</t>
        </is>
      </c>
      <c r="E14" s="24" t="inlineStr"/>
    </row>
    <row r="15" ht="28" customHeight="1">
      <c r="B15" s="10" t="inlineStr">
        <is>
          <t>Command accuracy reported by subgroup, not one number</t>
        </is>
      </c>
      <c r="C15" s="10" t="inlineStr">
        <is>
          <t>Kelvin</t>
        </is>
      </c>
      <c r="D15" s="9" t="inlineStr">
        <is>
          <t>No</t>
        </is>
      </c>
      <c r="E15" s="24" t="inlineStr"/>
    </row>
    <row r="16" ht="28" customHeight="1">
      <c r="B16" s="10" t="inlineStr">
        <is>
          <t>User-testing evidence: one concrete change made because a blind user asked</t>
        </is>
      </c>
      <c r="C16" s="10" t="inlineStr">
        <is>
          <t>Accessibility Lead</t>
        </is>
      </c>
      <c r="D16" s="9" t="inlineStr">
        <is>
          <t>No</t>
        </is>
      </c>
      <c r="E16" s="24" t="inlineStr"/>
    </row>
    <row r="17" ht="28" customHeight="1">
      <c r="B17" s="10" t="inlineStr">
        <is>
          <t>Backup demo video of a full successful run recorded</t>
        </is>
      </c>
      <c r="C17" s="10" t="inlineStr">
        <is>
          <t>Frederick</t>
        </is>
      </c>
      <c r="D17" s="9" t="inlineStr">
        <is>
          <t>No</t>
        </is>
      </c>
      <c r="E17" s="24" t="inlineStr"/>
    </row>
    <row r="18" ht="28" customHeight="1">
      <c r="B18" s="10" t="inlineStr">
        <is>
          <t>5-minute presentation rehearsed (narrator + phone driver)</t>
        </is>
      </c>
      <c r="C18" s="10" t="inlineStr">
        <is>
          <t>Frederick</t>
        </is>
      </c>
      <c r="D18" s="9" t="inlineStr">
        <is>
          <t>No</t>
        </is>
      </c>
      <c r="E18" s="24" t="inlineStr"/>
    </row>
  </sheetData>
  <conditionalFormatting sqref="D5:D18">
    <cfRule type="cellIs" priority="1" operator="equal" dxfId="0">
      <formula>"Yes"</formula>
    </cfRule>
    <cfRule type="cellIs" priority="2" operator="equal" dxfId="2">
      <formula>"No"</formula>
    </cfRule>
  </conditionalFormatting>
  <dataValidations count="1">
    <dataValidation sqref="D5:D18" showDropDown="0" showInputMessage="0" showErrorMessage="0" allowBlank="1" type="list">
      <formula1>"No,Yes"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2026-09-14T22:17:03Z</dcterms:created>
  <dcterms:modified xmlns:dcterms="http://purl.org/dc/terms/" xmlns:xsi="http://www.w3.org/2001/XMLSchema-instance" xsi:type="dcterms:W3CDTF">2026-09-14T22:17:03Z</dcterms:modified>
</cp:coreProperties>
</file>